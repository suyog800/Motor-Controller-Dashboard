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434D772D-C5F9-4623-AE20-6B14CC2C7B6D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UA150" sheetId="1" r:id="rId1"/>
    <sheet name="UA8110_KV65" sheetId="7" r:id="rId2"/>
    <sheet name="UA8110_KV85" sheetId="8" r:id="rId3"/>
    <sheet name="BM1418ZXF-01-0450" sheetId="3" r:id="rId4"/>
    <sheet name="Hub Motor" sheetId="4" r:id="rId5"/>
    <sheet name="rmcs-1060" sheetId="6" r:id="rId6"/>
    <sheet name="GSBLD132R2000D48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6" l="1"/>
  <c r="R18" i="6"/>
  <c r="R19" i="6"/>
  <c r="R16" i="6"/>
  <c r="R10" i="6"/>
  <c r="R11" i="6"/>
  <c r="R12" i="6"/>
  <c r="R9" i="6"/>
  <c r="L17" i="4"/>
  <c r="L18" i="4"/>
  <c r="L19" i="4"/>
  <c r="L16" i="4"/>
  <c r="L10" i="4"/>
  <c r="L11" i="4"/>
  <c r="L12" i="4"/>
  <c r="L9" i="4"/>
  <c r="M17" i="3"/>
  <c r="M18" i="3"/>
  <c r="M19" i="3"/>
  <c r="M16" i="3"/>
  <c r="M10" i="3"/>
  <c r="M11" i="3"/>
  <c r="M12" i="3"/>
  <c r="M9" i="3"/>
  <c r="K4" i="8"/>
  <c r="K3" i="8"/>
  <c r="K17" i="8"/>
  <c r="K18" i="8"/>
  <c r="K19" i="8"/>
  <c r="K16" i="8"/>
  <c r="K10" i="8"/>
  <c r="K11" i="8"/>
  <c r="K12" i="8"/>
  <c r="K9" i="8"/>
  <c r="Q17" i="1"/>
  <c r="Q18" i="1"/>
  <c r="Q19" i="1"/>
  <c r="Q16" i="1"/>
  <c r="Q4" i="1"/>
  <c r="Q3" i="1"/>
  <c r="Q10" i="1"/>
  <c r="Q11" i="1"/>
  <c r="Q12" i="1"/>
  <c r="Q9" i="1"/>
  <c r="K19" i="7"/>
  <c r="K18" i="7"/>
  <c r="K17" i="7"/>
  <c r="K12" i="7"/>
  <c r="K11" i="7"/>
  <c r="K4" i="7"/>
  <c r="K3" i="7"/>
  <c r="K16" i="7"/>
  <c r="K10" i="7"/>
  <c r="D9" i="6"/>
  <c r="D8" i="6"/>
  <c r="D7" i="6"/>
  <c r="D2" i="6"/>
  <c r="D24" i="5"/>
  <c r="D23" i="5"/>
  <c r="D17" i="5"/>
  <c r="D9" i="5"/>
  <c r="D8" i="5"/>
  <c r="D2" i="5"/>
  <c r="D9" i="4"/>
  <c r="D8" i="4"/>
  <c r="D7" i="4"/>
  <c r="D2" i="4"/>
  <c r="D9" i="3"/>
  <c r="D8" i="3"/>
  <c r="D7" i="3"/>
  <c r="D2" i="3"/>
  <c r="D2" i="1"/>
  <c r="D5" i="1"/>
  <c r="D4" i="1"/>
</calcChain>
</file>

<file path=xl/sharedStrings.xml><?xml version="1.0" encoding="utf-8"?>
<sst xmlns="http://schemas.openxmlformats.org/spreadsheetml/2006/main" count="435" uniqueCount="61">
  <si>
    <t>La</t>
  </si>
  <si>
    <t>Lb</t>
  </si>
  <si>
    <t>Lc</t>
  </si>
  <si>
    <t>Lavg (uH) (10kHz)</t>
  </si>
  <si>
    <t>Field</t>
  </si>
  <si>
    <t>Value</t>
  </si>
  <si>
    <t>Iq Gains</t>
  </si>
  <si>
    <t>R_line_input</t>
  </si>
  <si>
    <t>Type</t>
  </si>
  <si>
    <t>Actual Value</t>
  </si>
  <si>
    <t>Value to be sent</t>
  </si>
  <si>
    <t>Ra</t>
  </si>
  <si>
    <t>Rb</t>
  </si>
  <si>
    <t>Rc</t>
  </si>
  <si>
    <t>Ravg (Ohms)</t>
  </si>
  <si>
    <t>R_line_unit</t>
  </si>
  <si>
    <t>Ω</t>
  </si>
  <si>
    <t>P</t>
  </si>
  <si>
    <t>(100 Hz)</t>
  </si>
  <si>
    <t>L_line_input</t>
  </si>
  <si>
    <t>I</t>
  </si>
  <si>
    <t>10KHz</t>
  </si>
  <si>
    <t>L_line_unit</t>
  </si>
  <si>
    <t>µH</t>
  </si>
  <si>
    <t>R_line_ohm</t>
  </si>
  <si>
    <t>L_line_H</t>
  </si>
  <si>
    <t>Velocity gains</t>
  </si>
  <si>
    <t>R_phase</t>
  </si>
  <si>
    <t>L_phase</t>
  </si>
  <si>
    <t>Kb_rad_s</t>
  </si>
  <si>
    <t>BW_rad_s</t>
  </si>
  <si>
    <t>D</t>
  </si>
  <si>
    <t>Ka</t>
  </si>
  <si>
    <t>Tc</t>
  </si>
  <si>
    <t>Kp</t>
  </si>
  <si>
    <t>Ki</t>
  </si>
  <si>
    <t>Position Gains</t>
  </si>
  <si>
    <t>fs_pwm_Hz</t>
  </si>
  <si>
    <t>BW_fraction</t>
  </si>
  <si>
    <t>timestamp</t>
  </si>
  <si>
    <t>20260108-130142</t>
  </si>
  <si>
    <t>mode</t>
  </si>
  <si>
    <t>auto</t>
  </si>
  <si>
    <t>Ravg (Ohms) (10 KHz)</t>
  </si>
  <si>
    <t>20260108-164604</t>
  </si>
  <si>
    <t>Velocity Gains</t>
  </si>
  <si>
    <t xml:space="preserve">Ravg (Ohms) </t>
  </si>
  <si>
    <t>(10 KHz)</t>
  </si>
  <si>
    <t>100Hz (1V)</t>
  </si>
  <si>
    <t>100Hz (0.1V)</t>
  </si>
  <si>
    <t>20260117-120049</t>
  </si>
  <si>
    <t>Speed Kp(saturation)</t>
  </si>
  <si>
    <t>Posi Kp (saturation)</t>
  </si>
  <si>
    <t>20260128-165721</t>
  </si>
  <si>
    <t>20260527-142751</t>
  </si>
  <si>
    <t>20260401-171052</t>
  </si>
  <si>
    <t>10KHz (1V)</t>
  </si>
  <si>
    <t>20260404-112615</t>
  </si>
  <si>
    <t>20260404-121459</t>
  </si>
  <si>
    <t>custom</t>
  </si>
  <si>
    <t>20260404-121622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</si>
</sst>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  <font>
      <sz val="11"/>
      <color rgb="FFB5CEA8"/>
      <name val="Courier New"/>
      <charset val="1"/>
    </font>
    <font>
      <sz val="17.149999999999999"/>
      <color rgb="FF1F2328"/>
      <name val="Monaspace Neon"/>
      <charset val="1"/>
    </font>
    <font>
      <b/>
      <sz val="17.149999999999999"/>
      <color rgb="FF1F2328"/>
      <name val="Calibri Light"/>
      <scheme val="major"/>
    </font>
    <font>
      <sz val="17.149999999999999"/>
      <color rgb="FF1F2328"/>
      <name val="Calibri Light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1" fontId="1" fillId="0" borderId="0" xfId="0" applyNumberFormat="1" applyFont="1"/>
    <xf numFmtId="16" fontId="1" fillId="0" borderId="0" xfId="0" applyNumberFormat="1" applyFont="1"/>
    <xf numFmtId="16" fontId="0" fillId="0" borderId="0" xfId="0" applyNumberFormat="1"/>
    <xf numFmtId="1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opLeftCell="I1" workbookViewId="0">
      <selection activeCell="S18" sqref="S18"/>
    </sheetView>
  </sheetViews>
  <sheetFormatPr defaultRowHeight="15"/>
  <cols>
    <col min="9" max="9" width="21.140625" customWidth="1"/>
    <col min="10" max="10" width="25.42578125" customWidth="1"/>
    <col min="16" max="16" width="13.5703125" customWidth="1"/>
    <col min="17" max="17" width="14.5703125" customWidth="1"/>
    <col min="18" max="18" width="17.140625" customWidth="1"/>
  </cols>
  <sheetData>
    <row r="1" spans="1:18" ht="51" customHeight="1">
      <c r="A1" t="s">
        <v>0</v>
      </c>
      <c r="B1" t="s">
        <v>1</v>
      </c>
      <c r="C1" t="s">
        <v>2</v>
      </c>
      <c r="D1" t="s">
        <v>3</v>
      </c>
      <c r="I1" s="1" t="s">
        <v>4</v>
      </c>
      <c r="J1" s="1" t="s">
        <v>5</v>
      </c>
      <c r="P1" s="8" t="s">
        <v>6</v>
      </c>
      <c r="Q1" s="9"/>
      <c r="R1" s="9"/>
    </row>
    <row r="2" spans="1:18">
      <c r="A2">
        <v>27.94</v>
      </c>
      <c r="B2">
        <v>22.8</v>
      </c>
      <c r="C2">
        <v>19.722999999999999</v>
      </c>
      <c r="D2">
        <f>(A2+B2+C2)/3</f>
        <v>23.487666666666666</v>
      </c>
      <c r="I2" s="1" t="s">
        <v>7</v>
      </c>
      <c r="J2" s="1">
        <v>1.77E-2</v>
      </c>
      <c r="P2" s="7" t="s">
        <v>8</v>
      </c>
      <c r="Q2" s="7" t="s">
        <v>9</v>
      </c>
      <c r="R2" s="7" t="s">
        <v>10</v>
      </c>
    </row>
    <row r="3" spans="1:18">
      <c r="A3" t="s">
        <v>11</v>
      </c>
      <c r="B3" t="s">
        <v>12</v>
      </c>
      <c r="C3" t="s">
        <v>13</v>
      </c>
      <c r="D3" t="s">
        <v>14</v>
      </c>
      <c r="I3" s="1" t="s">
        <v>15</v>
      </c>
      <c r="J3" s="1" t="s">
        <v>16</v>
      </c>
      <c r="P3" s="7" t="s">
        <v>17</v>
      </c>
      <c r="Q3">
        <f>(R3)</f>
        <v>0.14149999999999999</v>
      </c>
      <c r="R3">
        <v>0.14149999999999999</v>
      </c>
    </row>
    <row r="4" spans="1:18">
      <c r="A4">
        <v>0.03</v>
      </c>
      <c r="B4">
        <v>4.7E-2</v>
      </c>
      <c r="C4">
        <v>0.06</v>
      </c>
      <c r="D4">
        <f>(A4+B4+C4)/3</f>
        <v>4.5666666666666668E-2</v>
      </c>
      <c r="E4" t="s">
        <v>18</v>
      </c>
      <c r="I4" s="1" t="s">
        <v>19</v>
      </c>
      <c r="J4" s="1">
        <v>24.11333333</v>
      </c>
      <c r="P4" s="7" t="s">
        <v>20</v>
      </c>
      <c r="Q4">
        <f>(R4)</f>
        <v>1278.6870409999999</v>
      </c>
      <c r="R4">
        <v>1278.6870409999999</v>
      </c>
    </row>
    <row r="5" spans="1:18">
      <c r="A5">
        <v>0.34799999999999998</v>
      </c>
      <c r="B5">
        <v>0.27700000000000002</v>
      </c>
      <c r="C5">
        <v>0.224</v>
      </c>
      <c r="D5">
        <f>(A5+B5+C5)/3</f>
        <v>0.28299999999999997</v>
      </c>
      <c r="E5" t="s">
        <v>21</v>
      </c>
      <c r="I5" s="1" t="s">
        <v>22</v>
      </c>
      <c r="J5" s="1" t="s">
        <v>23</v>
      </c>
    </row>
    <row r="6" spans="1:18">
      <c r="I6" s="1" t="s">
        <v>24</v>
      </c>
      <c r="J6" s="1">
        <v>1.77E-2</v>
      </c>
    </row>
    <row r="7" spans="1:18">
      <c r="I7" s="1" t="s">
        <v>25</v>
      </c>
      <c r="J7" s="1">
        <v>2.411333333E-5</v>
      </c>
      <c r="P7" s="10" t="s">
        <v>26</v>
      </c>
      <c r="Q7" s="10"/>
      <c r="R7" s="10"/>
    </row>
    <row r="8" spans="1:18">
      <c r="I8" s="1" t="s">
        <v>27</v>
      </c>
      <c r="J8" s="1">
        <v>8.8500000000000002E-3</v>
      </c>
      <c r="P8" s="7" t="s">
        <v>8</v>
      </c>
      <c r="Q8" s="7" t="s">
        <v>9</v>
      </c>
      <c r="R8" s="7" t="s">
        <v>10</v>
      </c>
    </row>
    <row r="9" spans="1:18">
      <c r="I9" s="1" t="s">
        <v>28</v>
      </c>
      <c r="J9" s="2">
        <v>1.6075555553333301E-5</v>
      </c>
      <c r="P9" s="7" t="s">
        <v>17</v>
      </c>
      <c r="Q9">
        <f>(R9/100)</f>
        <v>4.82</v>
      </c>
      <c r="R9">
        <v>482</v>
      </c>
    </row>
    <row r="10" spans="1:18">
      <c r="I10" s="1" t="s">
        <v>29</v>
      </c>
      <c r="J10" s="1">
        <v>550.52529728373304</v>
      </c>
      <c r="P10" s="7" t="s">
        <v>20</v>
      </c>
      <c r="Q10">
        <f t="shared" ref="Q10:Q12" si="0">(R10/100)</f>
        <v>305.2</v>
      </c>
      <c r="R10">
        <v>30520</v>
      </c>
    </row>
    <row r="11" spans="1:18">
      <c r="I11" s="1" t="s">
        <v>30</v>
      </c>
      <c r="J11" s="1">
        <v>550.52529728373304</v>
      </c>
      <c r="P11" s="7" t="s">
        <v>31</v>
      </c>
      <c r="Q11">
        <f t="shared" si="0"/>
        <v>0</v>
      </c>
      <c r="R11">
        <v>0</v>
      </c>
    </row>
    <row r="12" spans="1:18">
      <c r="I12" s="1" t="s">
        <v>32</v>
      </c>
      <c r="J12" s="1">
        <v>8.8500000000000002E-3</v>
      </c>
      <c r="P12" s="7" t="s">
        <v>33</v>
      </c>
      <c r="Q12">
        <f t="shared" si="0"/>
        <v>0</v>
      </c>
      <c r="R12">
        <v>0</v>
      </c>
    </row>
    <row r="13" spans="1:18">
      <c r="I13" s="1" t="s">
        <v>34</v>
      </c>
      <c r="J13" s="1">
        <v>8.8500000000000002E-3</v>
      </c>
    </row>
    <row r="14" spans="1:18">
      <c r="I14" s="1" t="s">
        <v>35</v>
      </c>
      <c r="J14" s="1">
        <v>4.8721488809610403</v>
      </c>
      <c r="P14" s="10" t="s">
        <v>36</v>
      </c>
      <c r="Q14" s="10"/>
      <c r="R14" s="10"/>
    </row>
    <row r="15" spans="1:18">
      <c r="I15" s="1" t="s">
        <v>37</v>
      </c>
      <c r="J15" s="1">
        <v>10000</v>
      </c>
      <c r="P15" s="7" t="s">
        <v>8</v>
      </c>
      <c r="Q15" s="7" t="s">
        <v>9</v>
      </c>
      <c r="R15" s="7" t="s">
        <v>10</v>
      </c>
    </row>
    <row r="16" spans="1:18">
      <c r="I16" s="1" t="s">
        <v>38</v>
      </c>
      <c r="J16" s="3">
        <v>46032</v>
      </c>
      <c r="P16" s="7" t="s">
        <v>17</v>
      </c>
      <c r="Q16">
        <f>(R16/100)</f>
        <v>37.409999999999997</v>
      </c>
      <c r="R16">
        <v>3741</v>
      </c>
    </row>
    <row r="17" spans="1:18">
      <c r="I17" s="1" t="s">
        <v>39</v>
      </c>
      <c r="J17" s="1" t="s">
        <v>40</v>
      </c>
      <c r="P17" s="7" t="s">
        <v>20</v>
      </c>
      <c r="Q17">
        <f t="shared" ref="Q17:Q19" si="1">(R17/100)</f>
        <v>0</v>
      </c>
      <c r="R17">
        <v>0</v>
      </c>
    </row>
    <row r="18" spans="1:18">
      <c r="I18" s="1" t="s">
        <v>41</v>
      </c>
      <c r="J18" s="1" t="s">
        <v>42</v>
      </c>
      <c r="P18" s="7" t="s">
        <v>31</v>
      </c>
      <c r="Q18">
        <f t="shared" si="1"/>
        <v>0</v>
      </c>
      <c r="R18">
        <v>0</v>
      </c>
    </row>
    <row r="19" spans="1:18">
      <c r="P19" s="7" t="s">
        <v>33</v>
      </c>
      <c r="Q19">
        <f t="shared" si="1"/>
        <v>0</v>
      </c>
      <c r="R19">
        <v>0</v>
      </c>
    </row>
    <row r="24" spans="1:18">
      <c r="A24" t="s">
        <v>0</v>
      </c>
      <c r="B24" t="s">
        <v>1</v>
      </c>
      <c r="C24" t="s">
        <v>2</v>
      </c>
      <c r="D24" t="s">
        <v>3</v>
      </c>
      <c r="I24" s="1" t="s">
        <v>4</v>
      </c>
      <c r="J24" s="1" t="s">
        <v>5</v>
      </c>
    </row>
    <row r="25" spans="1:18">
      <c r="I25" s="1" t="s">
        <v>7</v>
      </c>
      <c r="J25" s="1">
        <v>0.28299999999999997</v>
      </c>
    </row>
    <row r="26" spans="1:18">
      <c r="I26" s="1" t="s">
        <v>15</v>
      </c>
      <c r="J26" s="1" t="s">
        <v>16</v>
      </c>
    </row>
    <row r="27" spans="1:18">
      <c r="I27" s="1" t="s">
        <v>19</v>
      </c>
      <c r="J27" s="1">
        <v>23.487666669999999</v>
      </c>
    </row>
    <row r="28" spans="1:18">
      <c r="I28" s="1" t="s">
        <v>22</v>
      </c>
      <c r="J28" s="1" t="s">
        <v>23</v>
      </c>
    </row>
    <row r="29" spans="1:18">
      <c r="A29" t="s">
        <v>11</v>
      </c>
      <c r="B29" t="s">
        <v>12</v>
      </c>
      <c r="C29" t="s">
        <v>13</v>
      </c>
      <c r="D29" t="s">
        <v>43</v>
      </c>
      <c r="I29" s="1" t="s">
        <v>24</v>
      </c>
      <c r="J29" s="1">
        <v>0.28299999999999997</v>
      </c>
    </row>
    <row r="30" spans="1:18">
      <c r="I30" s="1" t="s">
        <v>25</v>
      </c>
      <c r="J30" s="1">
        <v>2.3487666670000001E-5</v>
      </c>
    </row>
    <row r="31" spans="1:18">
      <c r="I31" s="1" t="s">
        <v>27</v>
      </c>
      <c r="J31" s="1">
        <v>0.14149999999999999</v>
      </c>
    </row>
    <row r="32" spans="1:18">
      <c r="I32" s="1" t="s">
        <v>28</v>
      </c>
      <c r="J32" s="2">
        <v>1.56584444466667E-5</v>
      </c>
    </row>
    <row r="33" spans="2:10">
      <c r="I33" s="1" t="s">
        <v>29</v>
      </c>
      <c r="J33" s="1">
        <v>9036.6575352970103</v>
      </c>
    </row>
    <row r="34" spans="2:10">
      <c r="I34" s="1" t="s">
        <v>30</v>
      </c>
      <c r="J34" s="1">
        <v>9036.6575352970103</v>
      </c>
    </row>
    <row r="35" spans="2:10">
      <c r="I35" s="1" t="s">
        <v>32</v>
      </c>
      <c r="J35" s="1">
        <v>0.14149999999999999</v>
      </c>
    </row>
    <row r="36" spans="2:10">
      <c r="I36" s="1" t="s">
        <v>34</v>
      </c>
      <c r="J36" s="1">
        <v>0.14149999999999999</v>
      </c>
    </row>
    <row r="37" spans="2:10">
      <c r="I37" s="1" t="s">
        <v>35</v>
      </c>
      <c r="J37" s="1">
        <v>1278.6870412445301</v>
      </c>
    </row>
    <row r="38" spans="2:10">
      <c r="I38" s="1" t="s">
        <v>37</v>
      </c>
      <c r="J38" s="1">
        <v>10000</v>
      </c>
    </row>
    <row r="39" spans="2:10">
      <c r="I39" s="1" t="s">
        <v>38</v>
      </c>
      <c r="J39" s="3">
        <v>46032</v>
      </c>
    </row>
    <row r="40" spans="2:10">
      <c r="I40" s="1" t="s">
        <v>39</v>
      </c>
      <c r="J40" s="1" t="s">
        <v>44</v>
      </c>
    </row>
    <row r="41" spans="2:10">
      <c r="I41" s="1" t="s">
        <v>41</v>
      </c>
      <c r="J41" s="1" t="s">
        <v>42</v>
      </c>
    </row>
    <row r="45" spans="2:10">
      <c r="B45" s="7"/>
      <c r="C45" s="7"/>
    </row>
  </sheetData>
  <mergeCells count="3">
    <mergeCell ref="P1:R1"/>
    <mergeCell ref="P7:R7"/>
    <mergeCell ref="P14:R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87A3-6900-4EF7-B11C-1D4B1307C17D}">
  <dimension ref="J1:L19"/>
  <sheetViews>
    <sheetView workbookViewId="0">
      <selection activeCell="B1" sqref="B1"/>
    </sheetView>
  </sheetViews>
  <sheetFormatPr defaultRowHeight="15"/>
  <cols>
    <col min="11" max="11" width="15.7109375" customWidth="1"/>
    <col min="12" max="12" width="20.7109375" customWidth="1"/>
  </cols>
  <sheetData>
    <row r="1" spans="10:12" ht="21.75">
      <c r="J1" s="8" t="s">
        <v>6</v>
      </c>
      <c r="K1" s="9"/>
      <c r="L1" s="9"/>
    </row>
    <row r="2" spans="10:12">
      <c r="J2" s="7" t="s">
        <v>8</v>
      </c>
      <c r="K2" s="7" t="s">
        <v>9</v>
      </c>
      <c r="L2" s="7" t="s">
        <v>10</v>
      </c>
    </row>
    <row r="3" spans="10:12">
      <c r="J3" s="7" t="s">
        <v>17</v>
      </c>
      <c r="K3">
        <f>(L3)</f>
        <v>0.25</v>
      </c>
      <c r="L3">
        <v>0.25</v>
      </c>
    </row>
    <row r="4" spans="10:12">
      <c r="J4" s="7" t="s">
        <v>20</v>
      </c>
      <c r="K4">
        <f>(L4)</f>
        <v>1008.064516</v>
      </c>
      <c r="L4">
        <v>1008.064516</v>
      </c>
    </row>
    <row r="7" spans="10:12" ht="22.5">
      <c r="J7" s="10" t="s">
        <v>45</v>
      </c>
      <c r="K7" s="10"/>
      <c r="L7" s="10"/>
    </row>
    <row r="8" spans="10:12">
      <c r="J8" s="7" t="s">
        <v>8</v>
      </c>
      <c r="K8" s="7" t="s">
        <v>9</v>
      </c>
      <c r="L8" s="7" t="s">
        <v>10</v>
      </c>
    </row>
    <row r="9" spans="10:12">
      <c r="J9" s="7" t="s">
        <v>17</v>
      </c>
      <c r="K9">
        <v>4.95</v>
      </c>
      <c r="L9">
        <v>494</v>
      </c>
    </row>
    <row r="10" spans="10:12">
      <c r="J10" s="7" t="s">
        <v>20</v>
      </c>
      <c r="K10">
        <f>(L10/100)</f>
        <v>6.42</v>
      </c>
      <c r="L10">
        <v>642</v>
      </c>
    </row>
    <row r="11" spans="10:12">
      <c r="J11" s="7" t="s">
        <v>31</v>
      </c>
      <c r="K11">
        <f>(L11/100)</f>
        <v>0</v>
      </c>
      <c r="L11">
        <v>0</v>
      </c>
    </row>
    <row r="12" spans="10:12">
      <c r="J12" s="7" t="s">
        <v>33</v>
      </c>
      <c r="K12">
        <f>(L12/100)</f>
        <v>0</v>
      </c>
      <c r="L12">
        <v>0</v>
      </c>
    </row>
    <row r="14" spans="10:12" ht="22.5">
      <c r="J14" s="10" t="s">
        <v>36</v>
      </c>
      <c r="K14" s="10"/>
      <c r="L14" s="10"/>
    </row>
    <row r="15" spans="10:12">
      <c r="J15" s="7" t="s">
        <v>8</v>
      </c>
      <c r="K15" s="7" t="s">
        <v>9</v>
      </c>
      <c r="L15" s="7" t="s">
        <v>10</v>
      </c>
    </row>
    <row r="16" spans="10:12">
      <c r="J16" s="7" t="s">
        <v>17</v>
      </c>
      <c r="K16">
        <f>(L16/100)</f>
        <v>106.86</v>
      </c>
      <c r="L16">
        <v>10686</v>
      </c>
    </row>
    <row r="17" spans="10:12">
      <c r="J17" s="7" t="s">
        <v>20</v>
      </c>
      <c r="K17">
        <f>(L17/100)</f>
        <v>0</v>
      </c>
      <c r="L17">
        <v>0</v>
      </c>
    </row>
    <row r="18" spans="10:12">
      <c r="J18" s="7" t="s">
        <v>31</v>
      </c>
      <c r="K18">
        <f>(L18/100)</f>
        <v>0</v>
      </c>
      <c r="L18">
        <v>0</v>
      </c>
    </row>
    <row r="19" spans="10:12">
      <c r="J19" s="7" t="s">
        <v>33</v>
      </c>
      <c r="K19">
        <f>(L19)</f>
        <v>0</v>
      </c>
      <c r="L19">
        <v>0</v>
      </c>
    </row>
  </sheetData>
  <mergeCells count="3">
    <mergeCell ref="J1:L1"/>
    <mergeCell ref="J7:L7"/>
    <mergeCell ref="J14:L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A957-0315-4FE5-8465-5D35641032EA}">
  <dimension ref="J1:L19"/>
  <sheetViews>
    <sheetView workbookViewId="0">
      <selection activeCell="K9" sqref="K9"/>
    </sheetView>
  </sheetViews>
  <sheetFormatPr defaultRowHeight="15"/>
  <cols>
    <col min="11" max="11" width="16.7109375" customWidth="1"/>
    <col min="12" max="12" width="22.140625" customWidth="1"/>
  </cols>
  <sheetData>
    <row r="1" spans="10:12" ht="21.75">
      <c r="J1" s="8" t="s">
        <v>6</v>
      </c>
      <c r="K1" s="9"/>
      <c r="L1" s="9"/>
    </row>
    <row r="2" spans="10:12">
      <c r="J2" s="7" t="s">
        <v>8</v>
      </c>
      <c r="K2" s="7" t="s">
        <v>9</v>
      </c>
      <c r="L2" s="7" t="s">
        <v>10</v>
      </c>
    </row>
    <row r="3" spans="10:12">
      <c r="J3" s="7" t="s">
        <v>17</v>
      </c>
      <c r="K3">
        <f>(L3)</f>
        <v>0.13500000000000001</v>
      </c>
      <c r="L3">
        <v>0.13500000000000001</v>
      </c>
    </row>
    <row r="4" spans="10:12">
      <c r="J4" s="7" t="s">
        <v>20</v>
      </c>
      <c r="K4">
        <f>(L4)</f>
        <v>510.79035900000002</v>
      </c>
      <c r="L4">
        <v>510.79035900000002</v>
      </c>
    </row>
    <row r="7" spans="10:12" ht="22.5">
      <c r="J7" s="10" t="s">
        <v>45</v>
      </c>
      <c r="K7" s="10"/>
      <c r="L7" s="10"/>
    </row>
    <row r="8" spans="10:12">
      <c r="J8" s="7" t="s">
        <v>8</v>
      </c>
      <c r="K8" s="7" t="s">
        <v>9</v>
      </c>
      <c r="L8" s="7" t="s">
        <v>10</v>
      </c>
    </row>
    <row r="9" spans="10:12">
      <c r="J9" s="7" t="s">
        <v>17</v>
      </c>
      <c r="K9">
        <f>(L9/100)</f>
        <v>7.15</v>
      </c>
      <c r="L9">
        <v>715</v>
      </c>
    </row>
    <row r="10" spans="10:12">
      <c r="J10" s="7" t="s">
        <v>20</v>
      </c>
      <c r="K10">
        <f t="shared" ref="K10:K12" si="0">(L10/100)</f>
        <v>257.44</v>
      </c>
      <c r="L10">
        <v>25744</v>
      </c>
    </row>
    <row r="11" spans="10:12">
      <c r="J11" s="7" t="s">
        <v>31</v>
      </c>
      <c r="K11">
        <f t="shared" si="0"/>
        <v>0</v>
      </c>
      <c r="L11">
        <v>0</v>
      </c>
    </row>
    <row r="12" spans="10:12">
      <c r="J12" s="7" t="s">
        <v>33</v>
      </c>
      <c r="K12">
        <f t="shared" si="0"/>
        <v>0</v>
      </c>
      <c r="L12">
        <v>0</v>
      </c>
    </row>
    <row r="14" spans="10:12" ht="22.5">
      <c r="J14" s="10" t="s">
        <v>36</v>
      </c>
      <c r="K14" s="10"/>
      <c r="L14" s="10"/>
    </row>
    <row r="15" spans="10:12">
      <c r="J15" s="7" t="s">
        <v>8</v>
      </c>
      <c r="K15" s="7" t="s">
        <v>9</v>
      </c>
      <c r="L15" s="7" t="s">
        <v>10</v>
      </c>
    </row>
    <row r="16" spans="10:12">
      <c r="J16" s="7" t="s">
        <v>17</v>
      </c>
      <c r="K16">
        <f>(L16/100)</f>
        <v>16</v>
      </c>
      <c r="L16">
        <v>1600</v>
      </c>
    </row>
    <row r="17" spans="10:12">
      <c r="J17" s="7" t="s">
        <v>20</v>
      </c>
      <c r="K17">
        <f t="shared" ref="K17:K19" si="1">(L17/100)</f>
        <v>0</v>
      </c>
      <c r="L17">
        <v>0</v>
      </c>
    </row>
    <row r="18" spans="10:12">
      <c r="J18" s="7" t="s">
        <v>31</v>
      </c>
      <c r="K18">
        <f t="shared" si="1"/>
        <v>0</v>
      </c>
      <c r="L18">
        <v>0</v>
      </c>
    </row>
    <row r="19" spans="10:12">
      <c r="J19" s="7" t="s">
        <v>33</v>
      </c>
      <c r="K19">
        <f t="shared" si="1"/>
        <v>0</v>
      </c>
      <c r="L19">
        <v>0</v>
      </c>
    </row>
  </sheetData>
  <mergeCells count="3">
    <mergeCell ref="J1:L1"/>
    <mergeCell ref="J7:L7"/>
    <mergeCell ref="J14:L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DDED-B6EE-4ECC-8253-83558165CA70}">
  <dimension ref="A1:N24"/>
  <sheetViews>
    <sheetView tabSelected="1" topLeftCell="D1" workbookViewId="0">
      <selection activeCell="M23" sqref="M23"/>
    </sheetView>
  </sheetViews>
  <sheetFormatPr defaultRowHeight="15"/>
  <cols>
    <col min="4" max="4" width="15.7109375" customWidth="1"/>
    <col min="5" max="5" width="20.85546875" customWidth="1"/>
    <col min="8" max="8" width="24.5703125" customWidth="1"/>
    <col min="9" max="9" width="30" customWidth="1"/>
    <col min="13" max="13" width="19.5703125" customWidth="1"/>
    <col min="14" max="14" width="17.140625" customWidth="1"/>
  </cols>
  <sheetData>
    <row r="1" spans="1:14" ht="21.75">
      <c r="A1" t="s">
        <v>0</v>
      </c>
      <c r="B1" t="s">
        <v>1</v>
      </c>
      <c r="C1" t="s">
        <v>2</v>
      </c>
      <c r="D1" t="s">
        <v>3</v>
      </c>
      <c r="H1" s="1" t="s">
        <v>4</v>
      </c>
      <c r="I1" s="1" t="s">
        <v>5</v>
      </c>
      <c r="L1" s="8" t="s">
        <v>6</v>
      </c>
      <c r="M1" s="9"/>
      <c r="N1" s="9"/>
    </row>
    <row r="2" spans="1:14">
      <c r="A2">
        <v>136.33000000000001</v>
      </c>
      <c r="B2">
        <v>157.19</v>
      </c>
      <c r="C2">
        <v>145.66</v>
      </c>
      <c r="D2">
        <f>(A2+B2+C2)/3</f>
        <v>146.39333333333332</v>
      </c>
      <c r="H2" s="1" t="s">
        <v>7</v>
      </c>
      <c r="I2" s="1">
        <v>8.8520000000000001E-2</v>
      </c>
      <c r="L2" s="7" t="s">
        <v>8</v>
      </c>
      <c r="M2" s="7" t="s">
        <v>9</v>
      </c>
      <c r="N2" s="7" t="s">
        <v>10</v>
      </c>
    </row>
    <row r="3" spans="1:14">
      <c r="H3" s="1" t="s">
        <v>15</v>
      </c>
      <c r="I3" s="1" t="s">
        <v>16</v>
      </c>
      <c r="L3" s="7" t="s">
        <v>17</v>
      </c>
      <c r="M3">
        <v>4.4260000000000001E-2</v>
      </c>
      <c r="N3">
        <v>4.4260000000000001E-2</v>
      </c>
    </row>
    <row r="4" spans="1:14">
      <c r="H4" s="1" t="s">
        <v>19</v>
      </c>
      <c r="I4" s="1">
        <v>146.39333329999999</v>
      </c>
      <c r="L4" s="7" t="s">
        <v>20</v>
      </c>
      <c r="M4">
        <v>20.072098459999999</v>
      </c>
      <c r="N4">
        <v>20.072098459999999</v>
      </c>
    </row>
    <row r="5" spans="1:14">
      <c r="H5" s="1" t="s">
        <v>22</v>
      </c>
      <c r="I5" s="1" t="s">
        <v>23</v>
      </c>
    </row>
    <row r="6" spans="1:14">
      <c r="A6" t="s">
        <v>11</v>
      </c>
      <c r="B6" t="s">
        <v>12</v>
      </c>
      <c r="C6" t="s">
        <v>13</v>
      </c>
      <c r="D6" t="s">
        <v>46</v>
      </c>
      <c r="H6" s="1" t="s">
        <v>24</v>
      </c>
      <c r="I6" s="1">
        <v>8.8520000000000001E-2</v>
      </c>
    </row>
    <row r="7" spans="1:14">
      <c r="A7">
        <v>3.15</v>
      </c>
      <c r="B7">
        <v>3.31</v>
      </c>
      <c r="C7">
        <v>3.746</v>
      </c>
      <c r="D7">
        <f>(A7+B7+C7)/3</f>
        <v>3.4019999999999997</v>
      </c>
      <c r="E7" t="s">
        <v>47</v>
      </c>
      <c r="H7" s="1" t="s">
        <v>25</v>
      </c>
      <c r="I7" s="1">
        <v>1.4639333329999999E-4</v>
      </c>
      <c r="L7" s="10" t="s">
        <v>45</v>
      </c>
      <c r="M7" s="10"/>
      <c r="N7" s="10"/>
    </row>
    <row r="8" spans="1:14">
      <c r="A8">
        <v>8.5900000000000004E-2</v>
      </c>
      <c r="B8">
        <v>8.8160000000000002E-2</v>
      </c>
      <c r="C8">
        <v>9.1499999999999998E-2</v>
      </c>
      <c r="D8">
        <f>(A8+B8+C8)/3</f>
        <v>8.8520000000000001E-2</v>
      </c>
      <c r="E8" t="s">
        <v>48</v>
      </c>
      <c r="H8" s="1" t="s">
        <v>27</v>
      </c>
      <c r="I8" s="1">
        <v>4.4260000000000001E-2</v>
      </c>
      <c r="L8" s="7" t="s">
        <v>8</v>
      </c>
      <c r="M8" s="7" t="s">
        <v>9</v>
      </c>
      <c r="N8" s="7" t="s">
        <v>10</v>
      </c>
    </row>
    <row r="9" spans="1:14">
      <c r="A9">
        <v>8.6999999999999994E-2</v>
      </c>
      <c r="B9">
        <v>8.5000000000000006E-2</v>
      </c>
      <c r="C9">
        <v>0.09</v>
      </c>
      <c r="D9">
        <f>+(A9+B9+C9)/3</f>
        <v>8.7333333333333332E-2</v>
      </c>
      <c r="E9" t="s">
        <v>49</v>
      </c>
      <c r="H9" s="1" t="s">
        <v>28</v>
      </c>
      <c r="I9" s="2">
        <v>9.7595555533333301E-5</v>
      </c>
      <c r="L9" s="7" t="s">
        <v>17</v>
      </c>
      <c r="M9">
        <f>(N9/100)</f>
        <v>17.02</v>
      </c>
      <c r="N9">
        <v>1702</v>
      </c>
    </row>
    <row r="10" spans="1:14">
      <c r="H10" s="1" t="s">
        <v>29</v>
      </c>
      <c r="I10" s="1">
        <v>453.50425803850499</v>
      </c>
      <c r="L10" s="7" t="s">
        <v>20</v>
      </c>
      <c r="M10">
        <f t="shared" ref="M10:M12" si="0">(N10/100)</f>
        <v>22.12</v>
      </c>
      <c r="N10">
        <v>2212</v>
      </c>
    </row>
    <row r="11" spans="1:14">
      <c r="H11" s="1" t="s">
        <v>30</v>
      </c>
      <c r="I11" s="1">
        <v>453.50425803850499</v>
      </c>
      <c r="L11" s="7" t="s">
        <v>31</v>
      </c>
      <c r="M11">
        <f t="shared" si="0"/>
        <v>0</v>
      </c>
      <c r="N11">
        <v>0</v>
      </c>
    </row>
    <row r="12" spans="1:14">
      <c r="H12" s="1" t="s">
        <v>32</v>
      </c>
      <c r="I12" s="1">
        <v>4.4260000000000001E-2</v>
      </c>
      <c r="L12" s="7" t="s">
        <v>33</v>
      </c>
      <c r="M12">
        <f t="shared" si="0"/>
        <v>0</v>
      </c>
      <c r="N12">
        <v>0</v>
      </c>
    </row>
    <row r="13" spans="1:14">
      <c r="H13" s="1" t="s">
        <v>34</v>
      </c>
      <c r="I13" s="1">
        <v>4.4260000000000001E-2</v>
      </c>
    </row>
    <row r="14" spans="1:14">
      <c r="H14" s="1" t="s">
        <v>35</v>
      </c>
      <c r="I14" s="1">
        <v>20.072098460784201</v>
      </c>
      <c r="L14" s="10" t="s">
        <v>36</v>
      </c>
      <c r="M14" s="10"/>
      <c r="N14" s="10"/>
    </row>
    <row r="15" spans="1:14">
      <c r="H15" s="1" t="s">
        <v>37</v>
      </c>
      <c r="I15" s="1">
        <v>10000</v>
      </c>
      <c r="L15" s="7" t="s">
        <v>8</v>
      </c>
      <c r="M15" s="7" t="s">
        <v>9</v>
      </c>
      <c r="N15" s="7" t="s">
        <v>10</v>
      </c>
    </row>
    <row r="16" spans="1:14">
      <c r="H16" s="1" t="s">
        <v>38</v>
      </c>
      <c r="I16" s="3">
        <v>46032</v>
      </c>
      <c r="L16" s="7" t="s">
        <v>17</v>
      </c>
      <c r="M16">
        <f>(N16/100)</f>
        <v>37.409999999999997</v>
      </c>
      <c r="N16">
        <v>3741</v>
      </c>
    </row>
    <row r="17" spans="8:14">
      <c r="H17" s="1" t="s">
        <v>39</v>
      </c>
      <c r="I17" s="1" t="s">
        <v>50</v>
      </c>
      <c r="L17" s="7" t="s">
        <v>20</v>
      </c>
      <c r="M17">
        <f t="shared" ref="M17:M19" si="1">(N17/100)</f>
        <v>0</v>
      </c>
      <c r="N17">
        <v>0</v>
      </c>
    </row>
    <row r="18" spans="8:14">
      <c r="H18" s="1" t="s">
        <v>41</v>
      </c>
      <c r="I18" s="1" t="s">
        <v>42</v>
      </c>
      <c r="L18" s="7" t="s">
        <v>31</v>
      </c>
      <c r="M18">
        <f t="shared" si="1"/>
        <v>0</v>
      </c>
      <c r="N18">
        <v>0</v>
      </c>
    </row>
    <row r="19" spans="8:14">
      <c r="L19" s="7" t="s">
        <v>33</v>
      </c>
      <c r="M19">
        <f t="shared" si="1"/>
        <v>0</v>
      </c>
      <c r="N19">
        <v>0</v>
      </c>
    </row>
    <row r="22" spans="8:14">
      <c r="H22" t="s">
        <v>51</v>
      </c>
      <c r="I22">
        <v>3405</v>
      </c>
    </row>
    <row r="24" spans="8:14">
      <c r="H24" t="s">
        <v>52</v>
      </c>
      <c r="I24">
        <v>7482</v>
      </c>
    </row>
  </sheetData>
  <mergeCells count="3">
    <mergeCell ref="L1:N1"/>
    <mergeCell ref="L7:N7"/>
    <mergeCell ref="L14:N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481D-38FF-4544-9A13-3EB5E40E13C7}">
  <dimension ref="A1:M19"/>
  <sheetViews>
    <sheetView topLeftCell="F1" workbookViewId="0">
      <selection activeCell="L9" sqref="L9"/>
    </sheetView>
  </sheetViews>
  <sheetFormatPr defaultRowHeight="15"/>
  <cols>
    <col min="8" max="8" width="21.28515625" customWidth="1"/>
    <col min="9" max="9" width="27.28515625" customWidth="1"/>
    <col min="11" max="11" width="16.140625" customWidth="1"/>
    <col min="12" max="12" width="25.140625" customWidth="1"/>
    <col min="13" max="13" width="21.28515625" customWidth="1"/>
  </cols>
  <sheetData>
    <row r="1" spans="1:13" ht="21.75" customHeight="1">
      <c r="A1" t="s">
        <v>0</v>
      </c>
      <c r="B1" t="s">
        <v>1</v>
      </c>
      <c r="C1" t="s">
        <v>2</v>
      </c>
      <c r="D1" t="s">
        <v>3</v>
      </c>
      <c r="K1" s="8" t="s">
        <v>6</v>
      </c>
      <c r="L1" s="8"/>
      <c r="M1" s="8"/>
    </row>
    <row r="2" spans="1:13" ht="21.75" customHeight="1">
      <c r="A2">
        <v>820</v>
      </c>
      <c r="B2">
        <v>872</v>
      </c>
      <c r="C2">
        <v>912</v>
      </c>
      <c r="D2">
        <f>(A2+B2+C2)/3</f>
        <v>868</v>
      </c>
      <c r="H2" t="s">
        <v>4</v>
      </c>
      <c r="I2" t="s">
        <v>5</v>
      </c>
      <c r="K2" s="7" t="s">
        <v>8</v>
      </c>
      <c r="L2" s="7" t="s">
        <v>9</v>
      </c>
      <c r="M2" s="7" t="s">
        <v>10</v>
      </c>
    </row>
    <row r="3" spans="1:13">
      <c r="H3" t="s">
        <v>7</v>
      </c>
      <c r="I3">
        <v>0.7</v>
      </c>
      <c r="K3" s="7" t="s">
        <v>17</v>
      </c>
      <c r="L3">
        <v>0.35</v>
      </c>
      <c r="M3">
        <v>0.35</v>
      </c>
    </row>
    <row r="4" spans="1:13">
      <c r="H4" t="s">
        <v>15</v>
      </c>
      <c r="I4" t="s">
        <v>16</v>
      </c>
      <c r="K4" s="7" t="s">
        <v>20</v>
      </c>
      <c r="L4">
        <v>211.6935484</v>
      </c>
      <c r="M4">
        <v>211.6935484</v>
      </c>
    </row>
    <row r="5" spans="1:13">
      <c r="H5" t="s">
        <v>19</v>
      </c>
      <c r="I5">
        <v>868</v>
      </c>
    </row>
    <row r="6" spans="1:13">
      <c r="A6" t="s">
        <v>11</v>
      </c>
      <c r="B6" t="s">
        <v>12</v>
      </c>
      <c r="C6" t="s">
        <v>13</v>
      </c>
      <c r="D6" t="s">
        <v>46</v>
      </c>
      <c r="H6" t="s">
        <v>22</v>
      </c>
      <c r="I6" t="s">
        <v>23</v>
      </c>
    </row>
    <row r="7" spans="1:13">
      <c r="A7">
        <v>20.5</v>
      </c>
      <c r="B7">
        <v>23</v>
      </c>
      <c r="C7">
        <v>18.5</v>
      </c>
      <c r="D7">
        <f>(A7+B7+C7)/3</f>
        <v>20.666666666666668</v>
      </c>
      <c r="E7" t="s">
        <v>47</v>
      </c>
      <c r="H7" t="s">
        <v>24</v>
      </c>
      <c r="I7">
        <v>0.7</v>
      </c>
      <c r="K7" s="10" t="s">
        <v>26</v>
      </c>
      <c r="L7" s="10"/>
      <c r="M7" s="10"/>
    </row>
    <row r="8" spans="1:13" ht="15" customHeight="1">
      <c r="A8">
        <v>0.71</v>
      </c>
      <c r="B8">
        <v>0.7</v>
      </c>
      <c r="C8">
        <v>0.71</v>
      </c>
      <c r="D8">
        <f>(A8+B8+C8)/3</f>
        <v>0.70666666666666667</v>
      </c>
      <c r="E8" t="s">
        <v>48</v>
      </c>
      <c r="H8" t="s">
        <v>25</v>
      </c>
      <c r="I8">
        <v>8.6799999999999996E-4</v>
      </c>
      <c r="K8" s="7" t="s">
        <v>8</v>
      </c>
      <c r="L8" s="7" t="s">
        <v>9</v>
      </c>
      <c r="M8" s="7" t="s">
        <v>10</v>
      </c>
    </row>
    <row r="9" spans="1:13">
      <c r="A9">
        <v>0.7</v>
      </c>
      <c r="B9">
        <v>0.7</v>
      </c>
      <c r="C9">
        <v>0.7</v>
      </c>
      <c r="D9">
        <f>+(A9+B9+C9)/3</f>
        <v>0.69999999999999984</v>
      </c>
      <c r="E9" t="s">
        <v>49</v>
      </c>
      <c r="H9" t="s">
        <v>27</v>
      </c>
      <c r="I9">
        <v>0.35</v>
      </c>
      <c r="K9" s="7" t="s">
        <v>17</v>
      </c>
      <c r="L9">
        <f>(M9/100)</f>
        <v>10.07</v>
      </c>
      <c r="M9">
        <v>1007</v>
      </c>
    </row>
    <row r="10" spans="1:13">
      <c r="H10" t="s">
        <v>28</v>
      </c>
      <c r="I10">
        <v>5.78666666666667E-4</v>
      </c>
      <c r="K10" s="7" t="s">
        <v>20</v>
      </c>
      <c r="L10">
        <f t="shared" ref="L10:L12" si="0">(M10/100)</f>
        <v>13.09</v>
      </c>
      <c r="M10">
        <v>1309</v>
      </c>
    </row>
    <row r="11" spans="1:13">
      <c r="H11" t="s">
        <v>29</v>
      </c>
      <c r="I11">
        <v>604.83870967741905</v>
      </c>
      <c r="K11" s="7" t="s">
        <v>31</v>
      </c>
      <c r="L11">
        <f t="shared" si="0"/>
        <v>0</v>
      </c>
      <c r="M11">
        <v>0</v>
      </c>
    </row>
    <row r="12" spans="1:13">
      <c r="H12" t="s">
        <v>30</v>
      </c>
      <c r="I12">
        <v>604.83870967741905</v>
      </c>
      <c r="K12" s="7" t="s">
        <v>33</v>
      </c>
      <c r="L12">
        <f t="shared" si="0"/>
        <v>0</v>
      </c>
      <c r="M12">
        <v>0</v>
      </c>
    </row>
    <row r="13" spans="1:13">
      <c r="H13" t="s">
        <v>32</v>
      </c>
      <c r="I13">
        <v>0.35</v>
      </c>
    </row>
    <row r="14" spans="1:13">
      <c r="H14" t="s">
        <v>34</v>
      </c>
      <c r="I14">
        <v>0.35</v>
      </c>
      <c r="K14" s="10" t="s">
        <v>36</v>
      </c>
      <c r="L14" s="10"/>
      <c r="M14" s="10"/>
    </row>
    <row r="15" spans="1:13" ht="15" customHeight="1">
      <c r="H15" t="s">
        <v>35</v>
      </c>
      <c r="I15">
        <v>211.693548387097</v>
      </c>
      <c r="K15" s="7" t="s">
        <v>8</v>
      </c>
      <c r="L15" s="7" t="s">
        <v>9</v>
      </c>
      <c r="M15" s="7" t="s">
        <v>10</v>
      </c>
    </row>
    <row r="16" spans="1:13">
      <c r="C16" s="6">
        <v>1007</v>
      </c>
      <c r="H16" t="s">
        <v>37</v>
      </c>
      <c r="I16">
        <v>10000</v>
      </c>
      <c r="K16" s="7" t="s">
        <v>17</v>
      </c>
      <c r="L16">
        <f>(M16/100)</f>
        <v>37.409999999999997</v>
      </c>
      <c r="M16">
        <v>3741</v>
      </c>
    </row>
    <row r="17" spans="3:13">
      <c r="C17" s="6">
        <v>1309</v>
      </c>
      <c r="H17" t="s">
        <v>38</v>
      </c>
      <c r="I17" s="4">
        <v>46032</v>
      </c>
      <c r="K17" s="7" t="s">
        <v>20</v>
      </c>
      <c r="L17">
        <f t="shared" ref="L17:L19" si="1">(M17/100)</f>
        <v>0</v>
      </c>
      <c r="M17">
        <v>0</v>
      </c>
    </row>
    <row r="18" spans="3:13">
      <c r="H18" t="s">
        <v>39</v>
      </c>
      <c r="I18" t="s">
        <v>53</v>
      </c>
      <c r="K18" s="7" t="s">
        <v>31</v>
      </c>
      <c r="L18">
        <f t="shared" si="1"/>
        <v>0</v>
      </c>
      <c r="M18">
        <v>0</v>
      </c>
    </row>
    <row r="19" spans="3:13">
      <c r="H19" t="s">
        <v>41</v>
      </c>
      <c r="I19" t="s">
        <v>42</v>
      </c>
      <c r="K19" s="7" t="s">
        <v>33</v>
      </c>
      <c r="L19">
        <f t="shared" si="1"/>
        <v>0</v>
      </c>
      <c r="M19">
        <v>0</v>
      </c>
    </row>
  </sheetData>
  <mergeCells count="3">
    <mergeCell ref="K1:M1"/>
    <mergeCell ref="K7:M7"/>
    <mergeCell ref="K14:M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09D2-DB49-464E-9126-8B673797B4CC}">
  <dimension ref="A1:S20"/>
  <sheetViews>
    <sheetView topLeftCell="J1" workbookViewId="0">
      <selection activeCell="S3" sqref="S3"/>
    </sheetView>
  </sheetViews>
  <sheetFormatPr defaultRowHeight="15"/>
  <cols>
    <col min="13" max="13" width="13.85546875" customWidth="1"/>
    <col min="14" max="14" width="19.5703125" customWidth="1"/>
    <col min="17" max="17" width="15.7109375" customWidth="1"/>
    <col min="18" max="18" width="21.7109375" customWidth="1"/>
    <col min="19" max="19" width="23.42578125" customWidth="1"/>
  </cols>
  <sheetData>
    <row r="1" spans="1:19" ht="21.75">
      <c r="A1" t="s">
        <v>0</v>
      </c>
      <c r="B1" t="s">
        <v>1</v>
      </c>
      <c r="C1" t="s">
        <v>2</v>
      </c>
      <c r="D1" t="s">
        <v>3</v>
      </c>
      <c r="Q1" s="8" t="s">
        <v>6</v>
      </c>
      <c r="R1" s="9"/>
      <c r="S1" s="9"/>
    </row>
    <row r="2" spans="1:19">
      <c r="A2">
        <v>161.1</v>
      </c>
      <c r="B2">
        <v>145.4</v>
      </c>
      <c r="C2">
        <v>171.5</v>
      </c>
      <c r="D2">
        <f>(A2+B2+C2)/3</f>
        <v>159.33333333333334</v>
      </c>
      <c r="Q2" s="7" t="s">
        <v>8</v>
      </c>
      <c r="R2" s="7" t="s">
        <v>9</v>
      </c>
      <c r="S2" s="7" t="s">
        <v>10</v>
      </c>
    </row>
    <row r="3" spans="1:19">
      <c r="M3" s="1" t="s">
        <v>4</v>
      </c>
      <c r="N3" s="1" t="s">
        <v>5</v>
      </c>
      <c r="Q3" s="7" t="s">
        <v>17</v>
      </c>
      <c r="R3">
        <v>6.7333500000000004E-2</v>
      </c>
      <c r="S3">
        <v>6.7333500000000004E-2</v>
      </c>
    </row>
    <row r="4" spans="1:19">
      <c r="M4" s="1" t="s">
        <v>7</v>
      </c>
      <c r="N4" s="1">
        <v>0.13466700000000001</v>
      </c>
      <c r="Q4" s="7" t="s">
        <v>20</v>
      </c>
      <c r="R4">
        <v>42.68230896</v>
      </c>
      <c r="S4">
        <v>42.68230896</v>
      </c>
    </row>
    <row r="5" spans="1:19">
      <c r="M5" s="1" t="s">
        <v>15</v>
      </c>
      <c r="N5" s="1" t="s">
        <v>16</v>
      </c>
    </row>
    <row r="6" spans="1:19">
      <c r="A6" t="s">
        <v>11</v>
      </c>
      <c r="B6" t="s">
        <v>12</v>
      </c>
      <c r="C6" t="s">
        <v>13</v>
      </c>
      <c r="D6" t="s">
        <v>46</v>
      </c>
      <c r="M6" s="1" t="s">
        <v>19</v>
      </c>
      <c r="N6" s="1">
        <v>159.333</v>
      </c>
    </row>
    <row r="7" spans="1:19">
      <c r="D7">
        <f>(A7+B7+C7)/3</f>
        <v>0</v>
      </c>
      <c r="E7" t="s">
        <v>47</v>
      </c>
      <c r="M7" s="1" t="s">
        <v>22</v>
      </c>
      <c r="N7" s="1" t="s">
        <v>23</v>
      </c>
      <c r="Q7" s="10" t="s">
        <v>45</v>
      </c>
      <c r="R7" s="10"/>
      <c r="S7" s="10"/>
    </row>
    <row r="8" spans="1:19">
      <c r="A8">
        <v>0.35</v>
      </c>
      <c r="B8">
        <v>0.16200000000000001</v>
      </c>
      <c r="C8">
        <v>0.13500000000000001</v>
      </c>
      <c r="D8">
        <f>(A8+B8+C8)/3</f>
        <v>0.21566666666666667</v>
      </c>
      <c r="E8" t="s">
        <v>48</v>
      </c>
      <c r="M8" s="1" t="s">
        <v>24</v>
      </c>
      <c r="N8" s="1">
        <v>0.13466700000000001</v>
      </c>
      <c r="Q8" s="7" t="s">
        <v>8</v>
      </c>
      <c r="R8" s="7" t="s">
        <v>9</v>
      </c>
      <c r="S8" s="7" t="s">
        <v>10</v>
      </c>
    </row>
    <row r="9" spans="1:19">
      <c r="A9">
        <v>0.13700000000000001</v>
      </c>
      <c r="B9">
        <v>0.13400000000000001</v>
      </c>
      <c r="C9">
        <v>0.13300000000000001</v>
      </c>
      <c r="D9">
        <f>+(A9+B9+C9)/3</f>
        <v>0.13466666666666668</v>
      </c>
      <c r="E9" t="s">
        <v>49</v>
      </c>
      <c r="M9" s="1" t="s">
        <v>25</v>
      </c>
      <c r="N9" s="1">
        <v>1.59333E-4</v>
      </c>
      <c r="Q9" s="7" t="s">
        <v>17</v>
      </c>
      <c r="R9">
        <f>(S9/100)</f>
        <v>10.07</v>
      </c>
      <c r="S9">
        <v>1007</v>
      </c>
    </row>
    <row r="10" spans="1:19">
      <c r="M10" s="1" t="s">
        <v>27</v>
      </c>
      <c r="N10" s="1">
        <v>6.7333500000000004E-2</v>
      </c>
      <c r="Q10" s="7" t="s">
        <v>20</v>
      </c>
      <c r="R10">
        <f t="shared" ref="R10:R12" si="0">(S10/100)</f>
        <v>13.09</v>
      </c>
      <c r="S10">
        <v>1309</v>
      </c>
    </row>
    <row r="11" spans="1:19">
      <c r="M11" s="1" t="s">
        <v>28</v>
      </c>
      <c r="N11" s="1">
        <v>1.06222E-4</v>
      </c>
      <c r="Q11" s="7" t="s">
        <v>31</v>
      </c>
      <c r="R11">
        <f t="shared" si="0"/>
        <v>0</v>
      </c>
      <c r="S11">
        <v>0</v>
      </c>
    </row>
    <row r="12" spans="1:19">
      <c r="M12" s="1" t="s">
        <v>29</v>
      </c>
      <c r="N12" s="1">
        <v>633.89410856508096</v>
      </c>
      <c r="Q12" s="7" t="s">
        <v>33</v>
      </c>
      <c r="R12">
        <f t="shared" si="0"/>
        <v>0</v>
      </c>
      <c r="S12">
        <v>0</v>
      </c>
    </row>
    <row r="13" spans="1:19">
      <c r="M13" s="1" t="s">
        <v>30</v>
      </c>
      <c r="N13" s="1">
        <v>633.89410856508096</v>
      </c>
    </row>
    <row r="14" spans="1:19">
      <c r="M14" s="1" t="s">
        <v>32</v>
      </c>
      <c r="N14" s="1">
        <v>6.7333500000000004E-2</v>
      </c>
      <c r="Q14" s="10" t="s">
        <v>36</v>
      </c>
      <c r="R14" s="10"/>
      <c r="S14" s="10"/>
    </row>
    <row r="15" spans="1:19">
      <c r="M15" s="1" t="s">
        <v>34</v>
      </c>
      <c r="N15" s="1">
        <v>6.7333500000000004E-2</v>
      </c>
      <c r="Q15" s="7" t="s">
        <v>8</v>
      </c>
      <c r="R15" s="7" t="s">
        <v>9</v>
      </c>
      <c r="S15" s="7" t="s">
        <v>10</v>
      </c>
    </row>
    <row r="16" spans="1:19">
      <c r="M16" s="1" t="s">
        <v>35</v>
      </c>
      <c r="N16" s="1">
        <v>42.682308959066901</v>
      </c>
      <c r="Q16" s="7" t="s">
        <v>17</v>
      </c>
      <c r="R16">
        <f>(S16/100)</f>
        <v>48.63</v>
      </c>
      <c r="S16">
        <v>4863</v>
      </c>
    </row>
    <row r="17" spans="13:19">
      <c r="M17" s="1" t="s">
        <v>37</v>
      </c>
      <c r="N17" s="1">
        <v>10000</v>
      </c>
      <c r="Q17" s="7" t="s">
        <v>20</v>
      </c>
      <c r="R17">
        <f t="shared" ref="R17:R19" si="1">(S17/100)</f>
        <v>0</v>
      </c>
      <c r="S17">
        <v>0</v>
      </c>
    </row>
    <row r="18" spans="13:19">
      <c r="M18" s="1" t="s">
        <v>38</v>
      </c>
      <c r="N18" s="3">
        <v>46032</v>
      </c>
      <c r="Q18" s="7" t="s">
        <v>31</v>
      </c>
      <c r="R18">
        <f t="shared" si="1"/>
        <v>0</v>
      </c>
      <c r="S18">
        <v>0</v>
      </c>
    </row>
    <row r="19" spans="13:19">
      <c r="M19" s="1" t="s">
        <v>39</v>
      </c>
      <c r="N19" s="1" t="s">
        <v>54</v>
      </c>
      <c r="Q19" s="7" t="s">
        <v>33</v>
      </c>
      <c r="R19">
        <f t="shared" si="1"/>
        <v>0</v>
      </c>
      <c r="S19">
        <v>0</v>
      </c>
    </row>
    <row r="20" spans="13:19">
      <c r="M20" s="1" t="s">
        <v>41</v>
      </c>
      <c r="N20" s="1" t="s">
        <v>42</v>
      </c>
    </row>
  </sheetData>
  <mergeCells count="3">
    <mergeCell ref="Q1:S1"/>
    <mergeCell ref="Q7:S7"/>
    <mergeCell ref="Q14:S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402A-3D21-4785-96A9-29EDA40697DD}">
  <dimension ref="A1:S80"/>
  <sheetViews>
    <sheetView topLeftCell="L1" workbookViewId="0">
      <selection activeCell="R3" sqref="R3:R4"/>
    </sheetView>
  </sheetViews>
  <sheetFormatPr defaultRowHeight="15"/>
  <cols>
    <col min="12" max="12" width="20.28515625" customWidth="1"/>
    <col min="13" max="13" width="19" customWidth="1"/>
    <col min="17" max="17" width="15.140625" customWidth="1"/>
    <col min="18" max="18" width="21.42578125" customWidth="1"/>
    <col min="19" max="19" width="22" customWidth="1"/>
  </cols>
  <sheetData>
    <row r="1" spans="1:19" ht="21.75">
      <c r="A1" t="s">
        <v>0</v>
      </c>
      <c r="B1" t="s">
        <v>1</v>
      </c>
      <c r="C1" t="s">
        <v>2</v>
      </c>
      <c r="D1" t="s">
        <v>3</v>
      </c>
      <c r="L1" s="1" t="s">
        <v>4</v>
      </c>
      <c r="M1" s="1" t="s">
        <v>5</v>
      </c>
      <c r="Q1" s="8" t="s">
        <v>6</v>
      </c>
      <c r="R1" s="9"/>
      <c r="S1" s="9"/>
    </row>
    <row r="2" spans="1:19">
      <c r="A2">
        <v>138.80000000000001</v>
      </c>
      <c r="B2">
        <v>143.6</v>
      </c>
      <c r="C2">
        <v>137.30000000000001</v>
      </c>
      <c r="D2">
        <f>(A2+B2+C2)/3</f>
        <v>139.9</v>
      </c>
      <c r="L2" s="1" t="s">
        <v>7</v>
      </c>
      <c r="M2" s="1">
        <v>2.6667E-2</v>
      </c>
      <c r="Q2" s="7" t="s">
        <v>8</v>
      </c>
      <c r="R2" s="7" t="s">
        <v>9</v>
      </c>
      <c r="S2" s="7" t="s">
        <v>10</v>
      </c>
    </row>
    <row r="3" spans="1:19">
      <c r="L3" s="1" t="s">
        <v>15</v>
      </c>
      <c r="M3" s="1" t="s">
        <v>16</v>
      </c>
      <c r="Q3" s="7" t="s">
        <v>17</v>
      </c>
      <c r="R3">
        <v>7.0036560000000003</v>
      </c>
      <c r="S3">
        <v>7.0036560000000003</v>
      </c>
    </row>
    <row r="4" spans="1:19">
      <c r="L4" s="1" t="s">
        <v>19</v>
      </c>
      <c r="M4" s="1">
        <v>139.9</v>
      </c>
      <c r="Q4" s="7" t="s">
        <v>20</v>
      </c>
      <c r="R4">
        <v>2777.180484</v>
      </c>
      <c r="S4">
        <v>2777.180484</v>
      </c>
    </row>
    <row r="5" spans="1:19">
      <c r="L5" s="1" t="s">
        <v>22</v>
      </c>
      <c r="M5" s="1" t="s">
        <v>23</v>
      </c>
    </row>
    <row r="6" spans="1:19">
      <c r="A6" t="s">
        <v>11</v>
      </c>
      <c r="B6" t="s">
        <v>12</v>
      </c>
      <c r="C6" t="s">
        <v>13</v>
      </c>
      <c r="D6" t="s">
        <v>46</v>
      </c>
      <c r="L6" s="1" t="s">
        <v>24</v>
      </c>
      <c r="M6" s="1">
        <v>2.6667E-2</v>
      </c>
    </row>
    <row r="7" spans="1:19">
      <c r="L7" s="1" t="s">
        <v>25</v>
      </c>
      <c r="M7" s="1">
        <v>1.3990000000000001E-4</v>
      </c>
      <c r="Q7" s="10" t="s">
        <v>26</v>
      </c>
      <c r="R7" s="10"/>
      <c r="S7" s="10"/>
    </row>
    <row r="8" spans="1:19">
      <c r="A8">
        <v>0.03</v>
      </c>
      <c r="B8">
        <v>0.03</v>
      </c>
      <c r="C8">
        <v>0.02</v>
      </c>
      <c r="D8">
        <f>(A8+B8+C8)/3</f>
        <v>2.6666666666666668E-2</v>
      </c>
      <c r="E8" t="s">
        <v>48</v>
      </c>
      <c r="L8" s="1" t="s">
        <v>27</v>
      </c>
      <c r="M8" s="1">
        <v>1.33335E-2</v>
      </c>
      <c r="Q8" s="7" t="s">
        <v>8</v>
      </c>
      <c r="R8" s="7" t="s">
        <v>9</v>
      </c>
      <c r="S8" s="7" t="s">
        <v>10</v>
      </c>
    </row>
    <row r="9" spans="1:19">
      <c r="A9">
        <v>0.03</v>
      </c>
      <c r="B9">
        <v>0.03</v>
      </c>
      <c r="C9">
        <v>0.02</v>
      </c>
      <c r="D9">
        <f>+(A9+B9+C9)/3</f>
        <v>2.6666666666666668E-2</v>
      </c>
      <c r="E9" t="s">
        <v>49</v>
      </c>
      <c r="L9" s="1" t="s">
        <v>28</v>
      </c>
      <c r="M9" s="2">
        <v>9.3266666666666707E-5</v>
      </c>
      <c r="Q9" s="7" t="s">
        <v>17</v>
      </c>
    </row>
    <row r="10" spans="1:19">
      <c r="L10" s="1" t="s">
        <v>29</v>
      </c>
      <c r="M10" s="1">
        <v>142.961043602573</v>
      </c>
      <c r="Q10" s="7" t="s">
        <v>20</v>
      </c>
    </row>
    <row r="11" spans="1:19">
      <c r="L11" s="1" t="s">
        <v>30</v>
      </c>
      <c r="M11" s="1">
        <v>142.961043602573</v>
      </c>
      <c r="Q11" s="7" t="s">
        <v>31</v>
      </c>
    </row>
    <row r="12" spans="1:19">
      <c r="L12" s="1" t="s">
        <v>32</v>
      </c>
      <c r="M12" s="1">
        <v>1.33335E-2</v>
      </c>
      <c r="Q12" s="7" t="s">
        <v>33</v>
      </c>
    </row>
    <row r="13" spans="1:19">
      <c r="L13" s="1" t="s">
        <v>34</v>
      </c>
      <c r="M13" s="1">
        <v>1.33335E-2</v>
      </c>
    </row>
    <row r="14" spans="1:19">
      <c r="L14" s="1" t="s">
        <v>35</v>
      </c>
      <c r="M14" s="1">
        <v>1.9061710748749101</v>
      </c>
      <c r="Q14" s="10" t="s">
        <v>36</v>
      </c>
      <c r="R14" s="10"/>
      <c r="S14" s="10"/>
    </row>
    <row r="15" spans="1:19">
      <c r="L15" s="1" t="s">
        <v>37</v>
      </c>
      <c r="M15" s="1">
        <v>10000</v>
      </c>
      <c r="Q15" s="7" t="s">
        <v>8</v>
      </c>
      <c r="R15" s="7" t="s">
        <v>9</v>
      </c>
      <c r="S15" s="7" t="s">
        <v>10</v>
      </c>
    </row>
    <row r="16" spans="1:19">
      <c r="A16" t="s">
        <v>0</v>
      </c>
      <c r="B16" t="s">
        <v>1</v>
      </c>
      <c r="C16" t="s">
        <v>2</v>
      </c>
      <c r="D16" t="s">
        <v>3</v>
      </c>
      <c r="L16" s="1" t="s">
        <v>38</v>
      </c>
      <c r="M16" s="3">
        <v>46032</v>
      </c>
      <c r="Q16" s="7" t="s">
        <v>17</v>
      </c>
    </row>
    <row r="17" spans="1:17">
      <c r="A17">
        <v>137.80000000000001</v>
      </c>
      <c r="B17">
        <v>145.19999999999999</v>
      </c>
      <c r="C17">
        <v>135</v>
      </c>
      <c r="D17">
        <f>(A17+B17+C17)/3</f>
        <v>139.33333333333334</v>
      </c>
      <c r="L17" s="1" t="s">
        <v>39</v>
      </c>
      <c r="M17" s="1" t="s">
        <v>55</v>
      </c>
      <c r="Q17" s="7" t="s">
        <v>20</v>
      </c>
    </row>
    <row r="18" spans="1:17">
      <c r="L18" s="1" t="s">
        <v>41</v>
      </c>
      <c r="M18" s="1" t="s">
        <v>42</v>
      </c>
      <c r="Q18" s="7" t="s">
        <v>31</v>
      </c>
    </row>
    <row r="19" spans="1:17">
      <c r="Q19" s="7" t="s">
        <v>33</v>
      </c>
    </row>
    <row r="21" spans="1:17">
      <c r="A21" t="s">
        <v>11</v>
      </c>
      <c r="B21" t="s">
        <v>12</v>
      </c>
      <c r="C21" t="s">
        <v>13</v>
      </c>
      <c r="D21" t="s">
        <v>46</v>
      </c>
    </row>
    <row r="22" spans="1:17">
      <c r="A22">
        <v>1.98</v>
      </c>
      <c r="B22">
        <v>2.4</v>
      </c>
      <c r="C22">
        <v>2.6</v>
      </c>
      <c r="E22" t="s">
        <v>56</v>
      </c>
    </row>
    <row r="23" spans="1:17">
      <c r="A23">
        <v>2.5999999999999999E-2</v>
      </c>
      <c r="B23">
        <v>5.1999999999999998E-2</v>
      </c>
      <c r="C23">
        <v>5.3999999999999999E-2</v>
      </c>
      <c r="D23">
        <f>(A23+B23+C23)/3</f>
        <v>4.4000000000000004E-2</v>
      </c>
      <c r="E23" t="s">
        <v>48</v>
      </c>
    </row>
    <row r="24" spans="1:17">
      <c r="A24">
        <v>2.5999999999999999E-2</v>
      </c>
      <c r="B24">
        <v>9.5000000000000001E-2</v>
      </c>
      <c r="C24">
        <v>0.1</v>
      </c>
      <c r="D24">
        <f>+(A24+B24+C24)/3</f>
        <v>7.3666666666666672E-2</v>
      </c>
      <c r="E24" t="s">
        <v>49</v>
      </c>
      <c r="L24" t="s">
        <v>4</v>
      </c>
      <c r="M24" t="s">
        <v>5</v>
      </c>
    </row>
    <row r="25" spans="1:17">
      <c r="L25" t="s">
        <v>7</v>
      </c>
      <c r="M25">
        <v>7.3666999999999996E-2</v>
      </c>
    </row>
    <row r="26" spans="1:17">
      <c r="L26" t="s">
        <v>15</v>
      </c>
      <c r="M26" t="s">
        <v>16</v>
      </c>
    </row>
    <row r="27" spans="1:17">
      <c r="L27" t="s">
        <v>19</v>
      </c>
      <c r="M27">
        <v>139.33330000000001</v>
      </c>
    </row>
    <row r="28" spans="1:17">
      <c r="L28" t="s">
        <v>22</v>
      </c>
      <c r="M28" t="s">
        <v>23</v>
      </c>
    </row>
    <row r="29" spans="1:17">
      <c r="L29" t="s">
        <v>24</v>
      </c>
      <c r="M29">
        <v>7.3666999999999996E-2</v>
      </c>
    </row>
    <row r="30" spans="1:17">
      <c r="L30" t="s">
        <v>25</v>
      </c>
      <c r="M30">
        <v>1.393333E-4</v>
      </c>
    </row>
    <row r="31" spans="1:17">
      <c r="L31" t="s">
        <v>27</v>
      </c>
      <c r="M31">
        <v>3.6833499999999998E-2</v>
      </c>
    </row>
    <row r="32" spans="1:17">
      <c r="L32" t="s">
        <v>28</v>
      </c>
      <c r="M32" s="5">
        <v>9.2888866666666705E-5</v>
      </c>
    </row>
    <row r="33" spans="12:13">
      <c r="L33" t="s">
        <v>29</v>
      </c>
      <c r="M33">
        <v>396.532989601194</v>
      </c>
    </row>
    <row r="34" spans="12:13">
      <c r="L34" t="s">
        <v>30</v>
      </c>
      <c r="M34">
        <v>396.532989601194</v>
      </c>
    </row>
    <row r="35" spans="12:13">
      <c r="L35" t="s">
        <v>32</v>
      </c>
      <c r="M35">
        <v>3.6833499999999998E-2</v>
      </c>
    </row>
    <row r="36" spans="12:13">
      <c r="L36" t="s">
        <v>34</v>
      </c>
      <c r="M36">
        <v>3.6833499999999998E-2</v>
      </c>
    </row>
    <row r="37" spans="12:13">
      <c r="L37" t="s">
        <v>35</v>
      </c>
      <c r="M37">
        <v>14.6056978724756</v>
      </c>
    </row>
    <row r="38" spans="12:13">
      <c r="L38" t="s">
        <v>37</v>
      </c>
      <c r="M38">
        <v>10000</v>
      </c>
    </row>
    <row r="39" spans="12:13">
      <c r="L39" t="s">
        <v>38</v>
      </c>
      <c r="M39" s="4">
        <v>46032</v>
      </c>
    </row>
    <row r="40" spans="12:13">
      <c r="L40" t="s">
        <v>39</v>
      </c>
      <c r="M40" t="s">
        <v>57</v>
      </c>
    </row>
    <row r="41" spans="12:13">
      <c r="L41" t="s">
        <v>41</v>
      </c>
      <c r="M41" t="s">
        <v>42</v>
      </c>
    </row>
    <row r="44" spans="12:13">
      <c r="L44" s="1" t="s">
        <v>4</v>
      </c>
      <c r="M44" s="1" t="s">
        <v>5</v>
      </c>
    </row>
    <row r="45" spans="12:13">
      <c r="L45" s="1" t="s">
        <v>7</v>
      </c>
      <c r="M45" s="1">
        <v>7.3666999999999996E-2</v>
      </c>
    </row>
    <row r="46" spans="12:13">
      <c r="L46" s="1" t="s">
        <v>15</v>
      </c>
      <c r="M46" s="1" t="s">
        <v>16</v>
      </c>
    </row>
    <row r="47" spans="12:13">
      <c r="L47" s="1" t="s">
        <v>19</v>
      </c>
      <c r="M47" s="1">
        <v>139.33330000000001</v>
      </c>
    </row>
    <row r="48" spans="12:13">
      <c r="L48" s="1" t="s">
        <v>22</v>
      </c>
      <c r="M48" s="1" t="s">
        <v>23</v>
      </c>
    </row>
    <row r="49" spans="12:13">
      <c r="L49" s="1" t="s">
        <v>24</v>
      </c>
      <c r="M49" s="1">
        <v>7.3666999999999996E-2</v>
      </c>
    </row>
    <row r="50" spans="12:13">
      <c r="L50" s="1" t="s">
        <v>25</v>
      </c>
      <c r="M50" s="1">
        <v>1.393333E-4</v>
      </c>
    </row>
    <row r="51" spans="12:13">
      <c r="L51" s="1" t="s">
        <v>27</v>
      </c>
      <c r="M51" s="1">
        <v>3.6833499999999998E-2</v>
      </c>
    </row>
    <row r="52" spans="12:13">
      <c r="L52" s="1" t="s">
        <v>28</v>
      </c>
      <c r="M52" s="2">
        <v>9.2888866666666705E-5</v>
      </c>
    </row>
    <row r="53" spans="12:13">
      <c r="L53" s="1" t="s">
        <v>29</v>
      </c>
      <c r="M53" s="1">
        <v>396.532989601194</v>
      </c>
    </row>
    <row r="54" spans="12:13">
      <c r="L54" s="1" t="s">
        <v>30</v>
      </c>
      <c r="M54" s="1">
        <v>75398.224000000002</v>
      </c>
    </row>
    <row r="55" spans="12:13">
      <c r="L55" s="1" t="s">
        <v>32</v>
      </c>
      <c r="M55" s="1">
        <v>7.0036555760394696</v>
      </c>
    </row>
    <row r="56" spans="12:13">
      <c r="L56" s="1" t="s">
        <v>34</v>
      </c>
      <c r="M56" s="1">
        <v>7.0036555760394696</v>
      </c>
    </row>
    <row r="57" spans="12:13">
      <c r="L57" s="1" t="s">
        <v>35</v>
      </c>
      <c r="M57" s="1">
        <v>2777.1804837039999</v>
      </c>
    </row>
    <row r="58" spans="12:13">
      <c r="L58" s="1" t="s">
        <v>37</v>
      </c>
      <c r="M58" s="1">
        <v>60000</v>
      </c>
    </row>
    <row r="59" spans="12:13">
      <c r="L59" s="1" t="s">
        <v>38</v>
      </c>
      <c r="M59" s="3">
        <v>46027</v>
      </c>
    </row>
    <row r="60" spans="12:13">
      <c r="L60" s="1" t="s">
        <v>39</v>
      </c>
      <c r="M60" s="1" t="s">
        <v>58</v>
      </c>
    </row>
    <row r="61" spans="12:13">
      <c r="L61" s="1" t="s">
        <v>41</v>
      </c>
      <c r="M61" s="1" t="s">
        <v>59</v>
      </c>
    </row>
    <row r="63" spans="12:13">
      <c r="L63" s="1" t="s">
        <v>4</v>
      </c>
      <c r="M63" s="1" t="s">
        <v>5</v>
      </c>
    </row>
    <row r="64" spans="12:13">
      <c r="L64" s="1" t="s">
        <v>7</v>
      </c>
      <c r="M64" s="1">
        <v>7.3666999999999996E-2</v>
      </c>
    </row>
    <row r="65" spans="12:13">
      <c r="L65" s="1" t="s">
        <v>15</v>
      </c>
      <c r="M65" s="1" t="s">
        <v>16</v>
      </c>
    </row>
    <row r="66" spans="12:13">
      <c r="L66" s="1" t="s">
        <v>19</v>
      </c>
      <c r="M66" s="1">
        <v>139.33330000000001</v>
      </c>
    </row>
    <row r="67" spans="12:13">
      <c r="L67" s="1" t="s">
        <v>22</v>
      </c>
      <c r="M67" s="1" t="s">
        <v>23</v>
      </c>
    </row>
    <row r="68" spans="12:13">
      <c r="L68" s="1" t="s">
        <v>24</v>
      </c>
      <c r="M68" s="1">
        <v>7.3666999999999996E-2</v>
      </c>
    </row>
    <row r="69" spans="12:13">
      <c r="L69" s="1" t="s">
        <v>25</v>
      </c>
      <c r="M69" s="1">
        <v>1.393333E-4</v>
      </c>
    </row>
    <row r="70" spans="12:13">
      <c r="L70" s="1" t="s">
        <v>27</v>
      </c>
      <c r="M70" s="1">
        <v>3.6833499999999998E-2</v>
      </c>
    </row>
    <row r="71" spans="12:13">
      <c r="L71" s="1" t="s">
        <v>28</v>
      </c>
      <c r="M71" s="2">
        <v>9.2888866666666705E-5</v>
      </c>
    </row>
    <row r="72" spans="12:13">
      <c r="L72" s="1" t="s">
        <v>29</v>
      </c>
      <c r="M72" s="1">
        <v>396.532989601194</v>
      </c>
    </row>
    <row r="73" spans="12:13">
      <c r="L73" s="1" t="s">
        <v>30</v>
      </c>
      <c r="M73" s="1">
        <v>25132.741000000002</v>
      </c>
    </row>
    <row r="74" spans="12:13">
      <c r="L74" s="1" t="s">
        <v>32</v>
      </c>
      <c r="M74" s="1">
        <v>2.33455182771687</v>
      </c>
    </row>
    <row r="75" spans="12:13">
      <c r="L75" s="1" t="s">
        <v>34</v>
      </c>
      <c r="M75" s="1">
        <v>2.33455182771687</v>
      </c>
    </row>
    <row r="76" spans="12:13">
      <c r="L76" s="1" t="s">
        <v>35</v>
      </c>
      <c r="M76" s="1">
        <v>925.72681562349999</v>
      </c>
    </row>
    <row r="77" spans="12:13">
      <c r="L77" s="1" t="s">
        <v>37</v>
      </c>
      <c r="M77" s="1">
        <v>20000</v>
      </c>
    </row>
    <row r="78" spans="12:13">
      <c r="L78" s="1" t="s">
        <v>38</v>
      </c>
      <c r="M78" s="3">
        <v>46027</v>
      </c>
    </row>
    <row r="79" spans="12:13">
      <c r="L79" s="1" t="s">
        <v>39</v>
      </c>
      <c r="M79" s="1" t="s">
        <v>60</v>
      </c>
    </row>
    <row r="80" spans="12:13">
      <c r="L80" s="1" t="s">
        <v>41</v>
      </c>
      <c r="M80" s="1" t="s">
        <v>59</v>
      </c>
    </row>
  </sheetData>
  <mergeCells count="3">
    <mergeCell ref="Q1:S1"/>
    <mergeCell ref="Q7:S7"/>
    <mergeCell ref="Q14:S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2026-01-08T07:07:22Z</dcterms:created>
  <dcterms:modified xsi:type="dcterms:W3CDTF">2026-06-16T06:13:22Z</dcterms:modified>
  <cp:category/>
  <cp:contentStatus/>
</cp:coreProperties>
</file>